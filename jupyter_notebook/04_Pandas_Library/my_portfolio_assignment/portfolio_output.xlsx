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gh4kor\study_material\python\python_fundamentals\jupyter_notebook\04_Pandas_Library\my_portfolio_assignment\"/>
    </mc:Choice>
  </mc:AlternateContent>
  <xr:revisionPtr revIDLastSave="0" documentId="13_ncr:1_{AFABA03B-7E8F-4CDF-BF0D-0C205CDB5C1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ortfolioData" sheetId="1" r:id="rId1"/>
    <sheet name="SectorTotal" sheetId="2" r:id="rId2"/>
    <sheet name="SectorSymbolTotal" sheetId="3" r:id="rId3"/>
    <sheet name="SectorPercent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</calcChain>
</file>

<file path=xl/sharedStrings.xml><?xml version="1.0" encoding="utf-8"?>
<sst xmlns="http://schemas.openxmlformats.org/spreadsheetml/2006/main" count="155" uniqueCount="75">
  <si>
    <t>Symbol</t>
  </si>
  <si>
    <t>ISIN</t>
  </si>
  <si>
    <t>Sector</t>
  </si>
  <si>
    <t>Quantity Available</t>
  </si>
  <si>
    <t>Quantity Long Term</t>
  </si>
  <si>
    <t>Average Price</t>
  </si>
  <si>
    <t>Previous Closing Price</t>
  </si>
  <si>
    <t>Unrealized P&amp;L</t>
  </si>
  <si>
    <t>Unnamed: 13</t>
  </si>
  <si>
    <t>Invested</t>
  </si>
  <si>
    <t>Current Value</t>
  </si>
  <si>
    <t>DRREDDY</t>
  </si>
  <si>
    <t>INE089A01031</t>
  </si>
  <si>
    <t>HEALTHCARE</t>
  </si>
  <si>
    <t>GOLDBEES-E</t>
  </si>
  <si>
    <t>INF204KB17I5</t>
  </si>
  <si>
    <t>ETF</t>
  </si>
  <si>
    <t>IDFCFIRSTB</t>
  </si>
  <si>
    <t>INE092T01019</t>
  </si>
  <si>
    <t>FINANCIAL SERVICES</t>
  </si>
  <si>
    <t>INDUSINDBK</t>
  </si>
  <si>
    <t>INE095A01012</t>
  </si>
  <si>
    <t>INFY</t>
  </si>
  <si>
    <t>INE009A01021</t>
  </si>
  <si>
    <t>SOFTWARE SERVICES</t>
  </si>
  <si>
    <t>ITC</t>
  </si>
  <si>
    <t>INE154A01025</t>
  </si>
  <si>
    <t>FMCG</t>
  </si>
  <si>
    <t>KTKBANK</t>
  </si>
  <si>
    <t>INE614B01018</t>
  </si>
  <si>
    <t>MANAPPURAM</t>
  </si>
  <si>
    <t>INE522D01027</t>
  </si>
  <si>
    <t>MUTHOOTMF</t>
  </si>
  <si>
    <t>INE046W01019</t>
  </si>
  <si>
    <t>NBFC</t>
  </si>
  <si>
    <t>NATCOPHARM</t>
  </si>
  <si>
    <t>INE987B01026</t>
  </si>
  <si>
    <t>ONGC</t>
  </si>
  <si>
    <t>INE213A01029</t>
  </si>
  <si>
    <t>ENERGY</t>
  </si>
  <si>
    <t>RECLTD</t>
  </si>
  <si>
    <t>INE020B01018</t>
  </si>
  <si>
    <t>SOUTHBANK</t>
  </si>
  <si>
    <t>INE683A01023</t>
  </si>
  <si>
    <t>TATASTEEL</t>
  </si>
  <si>
    <t>INE081A01020</t>
  </si>
  <si>
    <t>METALS</t>
  </si>
  <si>
    <t>TMCV</t>
  </si>
  <si>
    <t>INE1TAE01010</t>
  </si>
  <si>
    <t>AUTO ANCILLARY</t>
  </si>
  <si>
    <t>TMPV</t>
  </si>
  <si>
    <t>INE155A01022</t>
  </si>
  <si>
    <t>WIPRO</t>
  </si>
  <si>
    <t>INE075A01022</t>
  </si>
  <si>
    <t>ZYDUSLIFE</t>
  </si>
  <si>
    <t>INE010B01027</t>
  </si>
  <si>
    <t>Percentage</t>
  </si>
  <si>
    <t>2.48%</t>
  </si>
  <si>
    <t>5.23%</t>
  </si>
  <si>
    <t>1.9%</t>
  </si>
  <si>
    <t>14.78%</t>
  </si>
  <si>
    <t>13.05%</t>
  </si>
  <si>
    <t>2.03%</t>
  </si>
  <si>
    <t>5.09%</t>
  </si>
  <si>
    <t>2.06%</t>
  </si>
  <si>
    <t>10.32%</t>
  </si>
  <si>
    <t>1.77%</t>
  </si>
  <si>
    <t>12.18%</t>
  </si>
  <si>
    <t>3.19%</t>
  </si>
  <si>
    <t>5.9%</t>
  </si>
  <si>
    <t>1.18%</t>
  </si>
  <si>
    <t>4.77%</t>
  </si>
  <si>
    <t>3.59%</t>
  </si>
  <si>
    <t>3.28%</t>
  </si>
  <si>
    <t>7.22%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</si>
</sst>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I20" sqref="I20"/>
    </sheetView>
  </sheetViews>
  <sheetFormatPr defaultRowHeight="14.4" x14ac:dyDescent="0.3"/>
  <cols>
    <col min="1" max="1" width="13.5546875" bestFit="1" customWidth="1"/>
    <col min="2" max="2" width="13.77734375" bestFit="1" customWidth="1"/>
    <col min="3" max="3" width="18.44140625" bestFit="1" customWidth="1"/>
    <col min="4" max="4" width="16.5546875" bestFit="1" customWidth="1"/>
    <col min="5" max="5" width="17.88671875" bestFit="1" customWidth="1"/>
    <col min="6" max="6" width="12.44140625" bestFit="1" customWidth="1"/>
    <col min="7" max="7" width="19.44140625" bestFit="1" customWidth="1"/>
    <col min="8" max="8" width="13.88671875" bestFit="1" customWidth="1"/>
    <col min="9" max="9" width="12.33203125" bestFit="1" customWidth="1"/>
    <col min="10" max="10" width="12" bestFit="1" customWidth="1"/>
    <col min="11" max="11" width="12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20</v>
      </c>
      <c r="E2">
        <v>5</v>
      </c>
      <c r="F2">
        <v>1185.5925</v>
      </c>
      <c r="G2">
        <v>1167.2</v>
      </c>
      <c r="H2">
        <v>-367.85</v>
      </c>
      <c r="I2">
        <v>23711.85</v>
      </c>
      <c r="J2">
        <v>23711.85</v>
      </c>
      <c r="K2">
        <v>23344</v>
      </c>
    </row>
    <row r="3" spans="1:11" x14ac:dyDescent="0.3">
      <c r="A3" t="s">
        <v>14</v>
      </c>
      <c r="B3" t="s">
        <v>15</v>
      </c>
      <c r="C3" t="s">
        <v>16</v>
      </c>
      <c r="D3">
        <v>994</v>
      </c>
      <c r="E3">
        <v>0</v>
      </c>
      <c r="F3">
        <v>110.4624</v>
      </c>
      <c r="G3">
        <v>121.11</v>
      </c>
      <c r="H3">
        <v>10583.76</v>
      </c>
      <c r="I3">
        <v>109799.6256</v>
      </c>
      <c r="J3">
        <v>109799.6256</v>
      </c>
      <c r="K3">
        <v>120383.34</v>
      </c>
    </row>
    <row r="4" spans="1:11" x14ac:dyDescent="0.3">
      <c r="A4" t="s">
        <v>17</v>
      </c>
      <c r="B4" t="s">
        <v>18</v>
      </c>
      <c r="C4" t="s">
        <v>19</v>
      </c>
      <c r="D4">
        <v>1180</v>
      </c>
      <c r="E4">
        <v>1150</v>
      </c>
      <c r="F4">
        <v>82.155799999999999</v>
      </c>
      <c r="G4">
        <v>83.12</v>
      </c>
      <c r="H4">
        <v>1137.75</v>
      </c>
      <c r="I4">
        <v>96943.843999999997</v>
      </c>
      <c r="J4">
        <v>96943.843999999997</v>
      </c>
      <c r="K4">
        <v>98081.600000000006</v>
      </c>
    </row>
    <row r="5" spans="1:11" x14ac:dyDescent="0.3">
      <c r="A5" t="s">
        <v>20</v>
      </c>
      <c r="B5" t="s">
        <v>21</v>
      </c>
      <c r="C5" t="s">
        <v>19</v>
      </c>
      <c r="D5">
        <v>20</v>
      </c>
      <c r="E5">
        <v>0</v>
      </c>
      <c r="F5">
        <v>753.8</v>
      </c>
      <c r="G5">
        <v>949.8</v>
      </c>
      <c r="H5">
        <v>3920</v>
      </c>
      <c r="I5">
        <v>15076</v>
      </c>
      <c r="J5">
        <v>15076</v>
      </c>
      <c r="K5">
        <v>18996</v>
      </c>
    </row>
    <row r="6" spans="1:11" x14ac:dyDescent="0.3">
      <c r="A6" t="s">
        <v>22</v>
      </c>
      <c r="B6" t="s">
        <v>23</v>
      </c>
      <c r="C6" t="s">
        <v>24</v>
      </c>
      <c r="D6">
        <v>15</v>
      </c>
      <c r="E6">
        <v>9</v>
      </c>
      <c r="F6">
        <v>1624.0867000000001</v>
      </c>
      <c r="G6">
        <v>1681.2</v>
      </c>
      <c r="H6">
        <v>856.7</v>
      </c>
      <c r="I6">
        <v>24361.300500000001</v>
      </c>
      <c r="J6">
        <v>24361.300500000001</v>
      </c>
      <c r="K6">
        <v>25218</v>
      </c>
    </row>
    <row r="7" spans="1:11" x14ac:dyDescent="0.3">
      <c r="A7" t="s">
        <v>25</v>
      </c>
      <c r="B7" t="s">
        <v>26</v>
      </c>
      <c r="C7" t="s">
        <v>27</v>
      </c>
      <c r="D7">
        <v>234</v>
      </c>
      <c r="E7">
        <v>135</v>
      </c>
      <c r="F7">
        <v>386.56259999999997</v>
      </c>
      <c r="G7">
        <v>333.2</v>
      </c>
      <c r="H7">
        <v>-12486.847900000001</v>
      </c>
      <c r="I7">
        <v>90455.648399999991</v>
      </c>
      <c r="J7">
        <v>90455.648399999991</v>
      </c>
      <c r="K7">
        <v>77968.800000000003</v>
      </c>
    </row>
    <row r="8" spans="1:11" x14ac:dyDescent="0.3">
      <c r="A8" t="s">
        <v>28</v>
      </c>
      <c r="B8" t="s">
        <v>29</v>
      </c>
      <c r="C8" t="s">
        <v>19</v>
      </c>
      <c r="D8">
        <v>193</v>
      </c>
      <c r="E8">
        <v>68</v>
      </c>
      <c r="F8">
        <v>195.81729999999999</v>
      </c>
      <c r="G8">
        <v>189.1</v>
      </c>
      <c r="H8">
        <v>-1296.44</v>
      </c>
      <c r="I8">
        <v>37792.738899999997</v>
      </c>
      <c r="J8">
        <v>37792.738899999997</v>
      </c>
      <c r="K8">
        <v>36496.300000000003</v>
      </c>
    </row>
    <row r="9" spans="1:11" x14ac:dyDescent="0.3">
      <c r="A9" t="s">
        <v>30</v>
      </c>
      <c r="B9" t="s">
        <v>31</v>
      </c>
      <c r="C9" t="s">
        <v>19</v>
      </c>
      <c r="D9">
        <v>80</v>
      </c>
      <c r="E9">
        <v>68</v>
      </c>
      <c r="F9">
        <v>191.5351</v>
      </c>
      <c r="G9">
        <v>314.45</v>
      </c>
      <c r="H9">
        <v>9833.19</v>
      </c>
      <c r="I9">
        <v>15322.808000000001</v>
      </c>
      <c r="J9">
        <v>15322.808000000001</v>
      </c>
      <c r="K9">
        <v>25156</v>
      </c>
    </row>
    <row r="10" spans="1:11" x14ac:dyDescent="0.3">
      <c r="A10" t="s">
        <v>32</v>
      </c>
      <c r="B10" t="s">
        <v>33</v>
      </c>
      <c r="C10" t="s">
        <v>34</v>
      </c>
      <c r="D10">
        <v>120</v>
      </c>
      <c r="E10">
        <v>105</v>
      </c>
      <c r="F10">
        <v>222.04949999999999</v>
      </c>
      <c r="G10">
        <v>181.07</v>
      </c>
      <c r="H10">
        <v>-4917.54</v>
      </c>
      <c r="I10">
        <v>26645.94</v>
      </c>
      <c r="J10">
        <v>26645.94</v>
      </c>
      <c r="K10">
        <v>21728.400000000001</v>
      </c>
    </row>
    <row r="11" spans="1:11" x14ac:dyDescent="0.3">
      <c r="A11" t="s">
        <v>35</v>
      </c>
      <c r="B11" t="s">
        <v>36</v>
      </c>
      <c r="C11" t="s">
        <v>13</v>
      </c>
      <c r="D11">
        <v>42</v>
      </c>
      <c r="E11">
        <v>27</v>
      </c>
      <c r="F11">
        <v>1044.0999999999999</v>
      </c>
      <c r="G11">
        <v>845.75</v>
      </c>
      <c r="H11">
        <v>-8330.7000000000007</v>
      </c>
      <c r="I11">
        <v>43852.2</v>
      </c>
      <c r="J11">
        <v>43852.2</v>
      </c>
      <c r="K11">
        <v>35521.5</v>
      </c>
    </row>
    <row r="12" spans="1:11" x14ac:dyDescent="0.3">
      <c r="A12" t="s">
        <v>37</v>
      </c>
      <c r="B12" t="s">
        <v>38</v>
      </c>
      <c r="C12" t="s">
        <v>39</v>
      </c>
      <c r="D12">
        <v>60</v>
      </c>
      <c r="E12">
        <v>0</v>
      </c>
      <c r="F12">
        <v>235.8537</v>
      </c>
      <c r="G12">
        <v>243.11</v>
      </c>
      <c r="H12">
        <v>435.38</v>
      </c>
      <c r="I12">
        <v>14151.222</v>
      </c>
      <c r="J12">
        <v>14151.222</v>
      </c>
      <c r="K12">
        <v>14586.6</v>
      </c>
    </row>
    <row r="13" spans="1:11" x14ac:dyDescent="0.3">
      <c r="A13" t="s">
        <v>40</v>
      </c>
      <c r="B13" t="s">
        <v>41</v>
      </c>
      <c r="C13" t="s">
        <v>19</v>
      </c>
      <c r="D13">
        <v>170</v>
      </c>
      <c r="E13">
        <v>100</v>
      </c>
      <c r="F13">
        <v>450.80470000000003</v>
      </c>
      <c r="G13">
        <v>370.1</v>
      </c>
      <c r="H13">
        <v>-13719.8</v>
      </c>
      <c r="I13">
        <v>76636.798999999999</v>
      </c>
      <c r="J13">
        <v>76636.798999999999</v>
      </c>
      <c r="K13">
        <v>62917.000000000007</v>
      </c>
    </row>
    <row r="14" spans="1:11" x14ac:dyDescent="0.3">
      <c r="A14" t="s">
        <v>42</v>
      </c>
      <c r="B14" t="s">
        <v>43</v>
      </c>
      <c r="C14" t="s">
        <v>19</v>
      </c>
      <c r="D14">
        <v>460</v>
      </c>
      <c r="E14">
        <v>230</v>
      </c>
      <c r="F14">
        <v>28.562000000000001</v>
      </c>
      <c r="G14">
        <v>45.1</v>
      </c>
      <c r="H14">
        <v>7607.5</v>
      </c>
      <c r="I14">
        <v>13138.52</v>
      </c>
      <c r="J14">
        <v>13138.52</v>
      </c>
      <c r="K14">
        <v>20746</v>
      </c>
    </row>
    <row r="15" spans="1:11" x14ac:dyDescent="0.3">
      <c r="A15" t="s">
        <v>44</v>
      </c>
      <c r="B15" t="s">
        <v>45</v>
      </c>
      <c r="C15" t="s">
        <v>46</v>
      </c>
      <c r="D15">
        <v>225</v>
      </c>
      <c r="E15">
        <v>225</v>
      </c>
      <c r="F15">
        <v>157.54409999999999</v>
      </c>
      <c r="G15">
        <v>188.27</v>
      </c>
      <c r="H15">
        <v>6913.33</v>
      </c>
      <c r="I15">
        <v>35447.422499999993</v>
      </c>
      <c r="J15">
        <v>35447.422499999993</v>
      </c>
      <c r="K15">
        <v>42360.75</v>
      </c>
    </row>
    <row r="16" spans="1:11" x14ac:dyDescent="0.3">
      <c r="A16" t="s">
        <v>47</v>
      </c>
      <c r="B16" t="s">
        <v>48</v>
      </c>
      <c r="C16" t="s">
        <v>49</v>
      </c>
      <c r="D16">
        <v>67</v>
      </c>
      <c r="E16">
        <v>41</v>
      </c>
      <c r="F16">
        <v>275.0324</v>
      </c>
      <c r="G16">
        <v>441.4</v>
      </c>
      <c r="H16">
        <v>11146.629300000001</v>
      </c>
      <c r="I16">
        <v>18427.1708</v>
      </c>
      <c r="J16">
        <v>18427.1708</v>
      </c>
      <c r="K16">
        <v>29573.8</v>
      </c>
    </row>
    <row r="17" spans="1:11" x14ac:dyDescent="0.3">
      <c r="A17" t="s">
        <v>50</v>
      </c>
      <c r="B17" t="s">
        <v>51</v>
      </c>
      <c r="C17" t="s">
        <v>49</v>
      </c>
      <c r="D17">
        <v>70</v>
      </c>
      <c r="E17">
        <v>41</v>
      </c>
      <c r="F17">
        <v>554.63260000000002</v>
      </c>
      <c r="G17">
        <v>344</v>
      </c>
      <c r="H17">
        <v>-14744.279200000001</v>
      </c>
      <c r="I17">
        <v>38824.281999999999</v>
      </c>
      <c r="J17">
        <v>38824.281999999999</v>
      </c>
      <c r="K17">
        <v>24080</v>
      </c>
    </row>
    <row r="18" spans="1:11" x14ac:dyDescent="0.3">
      <c r="A18" t="s">
        <v>52</v>
      </c>
      <c r="B18" t="s">
        <v>53</v>
      </c>
      <c r="C18" t="s">
        <v>24</v>
      </c>
      <c r="D18">
        <v>210</v>
      </c>
      <c r="E18">
        <v>160</v>
      </c>
      <c r="F18">
        <v>255.29679999999999</v>
      </c>
      <c r="G18">
        <v>246</v>
      </c>
      <c r="H18">
        <v>-1952.33</v>
      </c>
      <c r="I18">
        <v>53612.328000000001</v>
      </c>
      <c r="J18">
        <v>53612.328000000001</v>
      </c>
      <c r="K18">
        <v>51660</v>
      </c>
    </row>
    <row r="19" spans="1:11" x14ac:dyDescent="0.3">
      <c r="A19" t="s">
        <v>54</v>
      </c>
      <c r="B19" t="s">
        <v>55</v>
      </c>
      <c r="C19" t="s">
        <v>13</v>
      </c>
      <c r="D19">
        <v>10</v>
      </c>
      <c r="E19">
        <v>0</v>
      </c>
      <c r="F19">
        <v>874.6</v>
      </c>
      <c r="G19">
        <v>881.1</v>
      </c>
      <c r="H19">
        <v>65</v>
      </c>
      <c r="I19">
        <v>8746</v>
      </c>
      <c r="J19">
        <v>8746</v>
      </c>
      <c r="K19">
        <v>8811</v>
      </c>
    </row>
    <row r="20" spans="1:11" x14ac:dyDescent="0.3">
      <c r="I20">
        <v>742945.6997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XFD1048576"/>
    </sheetView>
  </sheetViews>
  <sheetFormatPr defaultRowHeight="14.4" x14ac:dyDescent="0.3"/>
  <cols>
    <col min="1" max="1" width="19" bestFit="1" customWidth="1"/>
    <col min="2" max="2" width="12" bestFit="1" customWidth="1"/>
  </cols>
  <sheetData>
    <row r="1" spans="1:2" x14ac:dyDescent="0.3">
      <c r="A1" s="1" t="s">
        <v>2</v>
      </c>
      <c r="B1" s="1" t="s">
        <v>9</v>
      </c>
    </row>
    <row r="2" spans="1:2" x14ac:dyDescent="0.3">
      <c r="A2" s="1" t="s">
        <v>49</v>
      </c>
      <c r="B2">
        <v>57251.452799999999</v>
      </c>
    </row>
    <row r="3" spans="1:2" x14ac:dyDescent="0.3">
      <c r="A3" s="1" t="s">
        <v>39</v>
      </c>
      <c r="B3">
        <v>14151.222</v>
      </c>
    </row>
    <row r="4" spans="1:2" x14ac:dyDescent="0.3">
      <c r="A4" s="1" t="s">
        <v>16</v>
      </c>
      <c r="B4">
        <v>109799.6256</v>
      </c>
    </row>
    <row r="5" spans="1:2" x14ac:dyDescent="0.3">
      <c r="A5" s="1" t="s">
        <v>19</v>
      </c>
      <c r="B5">
        <v>254910.70989999999</v>
      </c>
    </row>
    <row r="6" spans="1:2" x14ac:dyDescent="0.3">
      <c r="A6" s="1" t="s">
        <v>27</v>
      </c>
      <c r="B6">
        <v>90455.648399999991</v>
      </c>
    </row>
    <row r="7" spans="1:2" x14ac:dyDescent="0.3">
      <c r="A7" s="1" t="s">
        <v>13</v>
      </c>
      <c r="B7">
        <v>76310.049999999988</v>
      </c>
    </row>
    <row r="8" spans="1:2" x14ac:dyDescent="0.3">
      <c r="A8" s="1" t="s">
        <v>46</v>
      </c>
      <c r="B8">
        <v>35447.422499999993</v>
      </c>
    </row>
    <row r="9" spans="1:2" x14ac:dyDescent="0.3">
      <c r="A9" s="1" t="s">
        <v>34</v>
      </c>
      <c r="B9">
        <v>26645.94</v>
      </c>
    </row>
    <row r="10" spans="1:2" x14ac:dyDescent="0.3">
      <c r="A10" s="1" t="s">
        <v>24</v>
      </c>
      <c r="B10">
        <v>77973.628500000006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C20" sqref="C20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bestFit="1" customWidth="1"/>
  </cols>
  <sheetData>
    <row r="1" spans="1:3" x14ac:dyDescent="0.3">
      <c r="A1" s="1" t="s">
        <v>2</v>
      </c>
      <c r="B1" s="1" t="s">
        <v>0</v>
      </c>
      <c r="C1" s="1" t="s">
        <v>9</v>
      </c>
    </row>
    <row r="2" spans="1:3" x14ac:dyDescent="0.3">
      <c r="A2" s="2" t="s">
        <v>49</v>
      </c>
      <c r="B2" s="1" t="s">
        <v>47</v>
      </c>
      <c r="C2">
        <v>18427.1708</v>
      </c>
    </row>
    <row r="3" spans="1:3" x14ac:dyDescent="0.3">
      <c r="A3" s="2"/>
      <c r="B3" s="1" t="s">
        <v>50</v>
      </c>
      <c r="C3">
        <v>38824.281999999999</v>
      </c>
    </row>
    <row r="4" spans="1:3" x14ac:dyDescent="0.3">
      <c r="A4" s="1" t="s">
        <v>39</v>
      </c>
      <c r="B4" s="1" t="s">
        <v>37</v>
      </c>
      <c r="C4">
        <v>14151.222</v>
      </c>
    </row>
    <row r="5" spans="1:3" x14ac:dyDescent="0.3">
      <c r="A5" s="1" t="s">
        <v>16</v>
      </c>
      <c r="B5" s="1" t="s">
        <v>14</v>
      </c>
      <c r="C5">
        <v>109799.6256</v>
      </c>
    </row>
    <row r="6" spans="1:3" x14ac:dyDescent="0.3">
      <c r="A6" s="2" t="s">
        <v>19</v>
      </c>
      <c r="B6" s="1" t="s">
        <v>17</v>
      </c>
      <c r="C6">
        <v>96943.843999999997</v>
      </c>
    </row>
    <row r="7" spans="1:3" x14ac:dyDescent="0.3">
      <c r="A7" s="2"/>
      <c r="B7" s="1" t="s">
        <v>20</v>
      </c>
      <c r="C7">
        <v>15076</v>
      </c>
    </row>
    <row r="8" spans="1:3" x14ac:dyDescent="0.3">
      <c r="A8" s="2"/>
      <c r="B8" s="1" t="s">
        <v>28</v>
      </c>
      <c r="C8">
        <v>37792.738899999997</v>
      </c>
    </row>
    <row r="9" spans="1:3" x14ac:dyDescent="0.3">
      <c r="A9" s="2"/>
      <c r="B9" s="1" t="s">
        <v>30</v>
      </c>
      <c r="C9">
        <v>15322.808000000001</v>
      </c>
    </row>
    <row r="10" spans="1:3" x14ac:dyDescent="0.3">
      <c r="A10" s="2"/>
      <c r="B10" s="1" t="s">
        <v>40</v>
      </c>
      <c r="C10">
        <v>76636.798999999999</v>
      </c>
    </row>
    <row r="11" spans="1:3" x14ac:dyDescent="0.3">
      <c r="A11" s="2"/>
      <c r="B11" s="1" t="s">
        <v>42</v>
      </c>
      <c r="C11">
        <v>13138.52</v>
      </c>
    </row>
    <row r="12" spans="1:3" x14ac:dyDescent="0.3">
      <c r="A12" s="1" t="s">
        <v>27</v>
      </c>
      <c r="B12" s="1" t="s">
        <v>25</v>
      </c>
      <c r="C12">
        <v>90455.648399999991</v>
      </c>
    </row>
    <row r="13" spans="1:3" x14ac:dyDescent="0.3">
      <c r="A13" s="2" t="s">
        <v>13</v>
      </c>
      <c r="B13" s="1" t="s">
        <v>11</v>
      </c>
      <c r="C13">
        <v>23711.85</v>
      </c>
    </row>
    <row r="14" spans="1:3" x14ac:dyDescent="0.3">
      <c r="A14" s="2"/>
      <c r="B14" s="1" t="s">
        <v>35</v>
      </c>
      <c r="C14">
        <v>43852.2</v>
      </c>
    </row>
    <row r="15" spans="1:3" x14ac:dyDescent="0.3">
      <c r="A15" s="2"/>
      <c r="B15" s="1" t="s">
        <v>54</v>
      </c>
      <c r="C15">
        <v>8746</v>
      </c>
    </row>
    <row r="16" spans="1:3" x14ac:dyDescent="0.3">
      <c r="A16" s="1" t="s">
        <v>46</v>
      </c>
      <c r="B16" s="1" t="s">
        <v>44</v>
      </c>
      <c r="C16">
        <v>35447.422499999993</v>
      </c>
    </row>
    <row r="17" spans="1:3" x14ac:dyDescent="0.3">
      <c r="A17" s="1" t="s">
        <v>34</v>
      </c>
      <c r="B17" s="1" t="s">
        <v>32</v>
      </c>
      <c r="C17">
        <v>26645.94</v>
      </c>
    </row>
    <row r="18" spans="1:3" x14ac:dyDescent="0.3">
      <c r="A18" s="2" t="s">
        <v>24</v>
      </c>
      <c r="B18" s="1" t="s">
        <v>22</v>
      </c>
      <c r="C18">
        <v>24361.300500000001</v>
      </c>
    </row>
    <row r="19" spans="1:3" x14ac:dyDescent="0.3">
      <c r="A19" s="2"/>
      <c r="B19" s="1" t="s">
        <v>52</v>
      </c>
      <c r="C19">
        <v>53612.328000000001</v>
      </c>
    </row>
    <row r="20" spans="1:3" x14ac:dyDescent="0.3">
      <c r="C20">
        <f>SUM(C2:C19)</f>
        <v>742945.69969999988</v>
      </c>
    </row>
  </sheetData>
  <mergeCells count="4">
    <mergeCell ref="A18:A19"/>
    <mergeCell ref="A6:A11"/>
    <mergeCell ref="A2:A3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tabSelected="1" workbookViewId="0">
      <selection activeCell="N11" sqref="N11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bestFit="1" customWidth="1"/>
    <col min="4" max="4" width="10.44140625" bestFit="1" customWidth="1"/>
  </cols>
  <sheetData>
    <row r="1" spans="1:4" x14ac:dyDescent="0.3">
      <c r="A1" s="1" t="s">
        <v>2</v>
      </c>
      <c r="B1" s="1" t="s">
        <v>0</v>
      </c>
      <c r="C1" s="1" t="s">
        <v>9</v>
      </c>
      <c r="D1" s="1" t="s">
        <v>56</v>
      </c>
    </row>
    <row r="2" spans="1:4" x14ac:dyDescent="0.3">
      <c r="A2" s="2" t="s">
        <v>49</v>
      </c>
      <c r="B2" s="1" t="s">
        <v>47</v>
      </c>
      <c r="C2">
        <v>18427.1708</v>
      </c>
      <c r="D2" t="s">
        <v>57</v>
      </c>
    </row>
    <row r="3" spans="1:4" x14ac:dyDescent="0.3">
      <c r="A3" s="2"/>
      <c r="B3" s="1" t="s">
        <v>50</v>
      </c>
      <c r="C3">
        <v>38824.281999999999</v>
      </c>
      <c r="D3" t="s">
        <v>58</v>
      </c>
    </row>
    <row r="4" spans="1:4" x14ac:dyDescent="0.3">
      <c r="A4" s="1" t="s">
        <v>39</v>
      </c>
      <c r="B4" s="1" t="s">
        <v>37</v>
      </c>
      <c r="C4">
        <v>14151.222</v>
      </c>
      <c r="D4" t="s">
        <v>59</v>
      </c>
    </row>
    <row r="5" spans="1:4" x14ac:dyDescent="0.3">
      <c r="A5" s="1" t="s">
        <v>16</v>
      </c>
      <c r="B5" s="1" t="s">
        <v>14</v>
      </c>
      <c r="C5">
        <v>109799.6256</v>
      </c>
      <c r="D5" t="s">
        <v>60</v>
      </c>
    </row>
    <row r="6" spans="1:4" x14ac:dyDescent="0.3">
      <c r="A6" s="2" t="s">
        <v>19</v>
      </c>
      <c r="B6" s="1" t="s">
        <v>17</v>
      </c>
      <c r="C6">
        <v>96943.843999999997</v>
      </c>
      <c r="D6" t="s">
        <v>61</v>
      </c>
    </row>
    <row r="7" spans="1:4" x14ac:dyDescent="0.3">
      <c r="A7" s="2"/>
      <c r="B7" s="1" t="s">
        <v>20</v>
      </c>
      <c r="C7">
        <v>15076</v>
      </c>
      <c r="D7" t="s">
        <v>62</v>
      </c>
    </row>
    <row r="8" spans="1:4" x14ac:dyDescent="0.3">
      <c r="A8" s="2"/>
      <c r="B8" s="1" t="s">
        <v>28</v>
      </c>
      <c r="C8">
        <v>37792.738899999997</v>
      </c>
      <c r="D8" t="s">
        <v>63</v>
      </c>
    </row>
    <row r="9" spans="1:4" x14ac:dyDescent="0.3">
      <c r="A9" s="2"/>
      <c r="B9" s="1" t="s">
        <v>30</v>
      </c>
      <c r="C9">
        <v>15322.808000000001</v>
      </c>
      <c r="D9" t="s">
        <v>64</v>
      </c>
    </row>
    <row r="10" spans="1:4" x14ac:dyDescent="0.3">
      <c r="A10" s="2"/>
      <c r="B10" s="1" t="s">
        <v>40</v>
      </c>
      <c r="C10">
        <v>76636.798999999999</v>
      </c>
      <c r="D10" t="s">
        <v>65</v>
      </c>
    </row>
    <row r="11" spans="1:4" x14ac:dyDescent="0.3">
      <c r="A11" s="2"/>
      <c r="B11" s="1" t="s">
        <v>42</v>
      </c>
      <c r="C11">
        <v>13138.52</v>
      </c>
      <c r="D11" t="s">
        <v>66</v>
      </c>
    </row>
    <row r="12" spans="1:4" x14ac:dyDescent="0.3">
      <c r="A12" s="1" t="s">
        <v>27</v>
      </c>
      <c r="B12" s="1" t="s">
        <v>25</v>
      </c>
      <c r="C12">
        <v>90455.648399999991</v>
      </c>
      <c r="D12" t="s">
        <v>67</v>
      </c>
    </row>
    <row r="13" spans="1:4" x14ac:dyDescent="0.3">
      <c r="A13" s="2" t="s">
        <v>13</v>
      </c>
      <c r="B13" s="1" t="s">
        <v>11</v>
      </c>
      <c r="C13">
        <v>23711.85</v>
      </c>
      <c r="D13" t="s">
        <v>68</v>
      </c>
    </row>
    <row r="14" spans="1:4" x14ac:dyDescent="0.3">
      <c r="A14" s="2"/>
      <c r="B14" s="1" t="s">
        <v>35</v>
      </c>
      <c r="C14">
        <v>43852.2</v>
      </c>
      <c r="D14" t="s">
        <v>69</v>
      </c>
    </row>
    <row r="15" spans="1:4" x14ac:dyDescent="0.3">
      <c r="A15" s="2"/>
      <c r="B15" s="1" t="s">
        <v>54</v>
      </c>
      <c r="C15">
        <v>8746</v>
      </c>
      <c r="D15" t="s">
        <v>70</v>
      </c>
    </row>
    <row r="16" spans="1:4" x14ac:dyDescent="0.3">
      <c r="A16" s="1" t="s">
        <v>46</v>
      </c>
      <c r="B16" s="1" t="s">
        <v>44</v>
      </c>
      <c r="C16">
        <v>35447.422499999993</v>
      </c>
      <c r="D16" t="s">
        <v>71</v>
      </c>
    </row>
    <row r="17" spans="1:4" x14ac:dyDescent="0.3">
      <c r="A17" s="1" t="s">
        <v>34</v>
      </c>
      <c r="B17" s="1" t="s">
        <v>32</v>
      </c>
      <c r="C17">
        <v>26645.94</v>
      </c>
      <c r="D17" t="s">
        <v>72</v>
      </c>
    </row>
    <row r="18" spans="1:4" x14ac:dyDescent="0.3">
      <c r="A18" s="2" t="s">
        <v>24</v>
      </c>
      <c r="B18" s="1" t="s">
        <v>22</v>
      </c>
      <c r="C18">
        <v>24361.300500000001</v>
      </c>
      <c r="D18" t="s">
        <v>73</v>
      </c>
    </row>
    <row r="19" spans="1:4" x14ac:dyDescent="0.3">
      <c r="A19" s="2"/>
      <c r="B19" s="1" t="s">
        <v>52</v>
      </c>
      <c r="C19">
        <v>53612.328000000001</v>
      </c>
      <c r="D19" t="s">
        <v>74</v>
      </c>
    </row>
  </sheetData>
  <mergeCells count="4">
    <mergeCell ref="A18:A19"/>
    <mergeCell ref="A6:A11"/>
    <mergeCell ref="A2:A3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PortfolioData</vt:lpstr>
      <vt:lpstr>SectorTotal</vt:lpstr>
      <vt:lpstr>SectorSymbolTotal</vt:lpstr>
      <vt:lpstr>SectorPercentage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Raghavendar Subramani (MS/EMT4-VM)</cp:lastModifiedBy>
  <dcterms:created xsi:type="dcterms:W3CDTF">2026-01-25T18:02:28Z</dcterms:created>
  <dcterms:modified xsi:type="dcterms:W3CDTF">2026-01-25T18:06:43Z</dcterms:modified>
</cp:coreProperties>
</file>