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5C681106-CDFD-413B-9D78-39EF50F9ED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quity" sheetId="1" r:id="rId1"/>
    <sheet name="Mutual Funds" sheetId="2" r:id="rId2"/>
    <sheet name="Combin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2" i="1" l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4" i="1"/>
</calcChain>
</file>

<file path=xl/sharedStrings.xml><?xml version="1.0" encoding="utf-8"?>
<sst xmlns="http://schemas.openxmlformats.org/spreadsheetml/2006/main" count="198" uniqueCount="73">
  <si>
    <t>View Zerodha's guide on using tax reports for filing.</t>
  </si>
  <si>
    <t>Client ID</t>
  </si>
  <si>
    <t>UHG161</t>
  </si>
  <si>
    <t>Equity Holdings Statement as on 2026-01-20</t>
  </si>
  <si>
    <t>Summary</t>
  </si>
  <si>
    <t>Invested Value</t>
  </si>
  <si>
    <t>Present Value</t>
  </si>
  <si>
    <t>Unrealized P&amp;L</t>
  </si>
  <si>
    <t>Unrealized P&amp;L Pct.</t>
  </si>
  <si>
    <t/>
  </si>
  <si>
    <t>Symbol</t>
  </si>
  <si>
    <t>ISIN</t>
  </si>
  <si>
    <t>Sector</t>
  </si>
  <si>
    <t>Quantity Available</t>
  </si>
  <si>
    <t>Quantity Discrepant</t>
  </si>
  <si>
    <t>Quantity Long Term</t>
  </si>
  <si>
    <t>Quantity Pledged (Margin)</t>
  </si>
  <si>
    <t>Quantity Pledged (Loan)</t>
  </si>
  <si>
    <t>Average Price</t>
  </si>
  <si>
    <t>Previous Closing Price</t>
  </si>
  <si>
    <t>DRREDDY</t>
  </si>
  <si>
    <t>INE089A01031</t>
  </si>
  <si>
    <t>HEALTHCARE</t>
  </si>
  <si>
    <t>GOLDBEES-E</t>
  </si>
  <si>
    <t>INF204KB17I5</t>
  </si>
  <si>
    <t>ETF</t>
  </si>
  <si>
    <t>IDFCFIRSTB</t>
  </si>
  <si>
    <t>INE092T01019</t>
  </si>
  <si>
    <t>FINANCIAL SERVICES</t>
  </si>
  <si>
    <t>INDUSINDBK</t>
  </si>
  <si>
    <t>INE095A01012</t>
  </si>
  <si>
    <t>INFY</t>
  </si>
  <si>
    <t>INE009A01021</t>
  </si>
  <si>
    <t>SOFTWARE SERVICES</t>
  </si>
  <si>
    <t>ITC</t>
  </si>
  <si>
    <t>INE154A01025</t>
  </si>
  <si>
    <t>FMCG</t>
  </si>
  <si>
    <t>KTKBANK</t>
  </si>
  <si>
    <t>INE614B01018</t>
  </si>
  <si>
    <t>MANAPPURAM</t>
  </si>
  <si>
    <t>INE522D01027</t>
  </si>
  <si>
    <t>MUTHOOTMF</t>
  </si>
  <si>
    <t>INE046W01019</t>
  </si>
  <si>
    <t>NBFC</t>
  </si>
  <si>
    <t>NATCOPHARM</t>
  </si>
  <si>
    <t>INE987B01026</t>
  </si>
  <si>
    <t>ONGC</t>
  </si>
  <si>
    <t>INE213A01029</t>
  </si>
  <si>
    <t>ENERGY</t>
  </si>
  <si>
    <t>RECLTD</t>
  </si>
  <si>
    <t>INE020B01018</t>
  </si>
  <si>
    <t>SOUTHBANK</t>
  </si>
  <si>
    <t>INE683A01023</t>
  </si>
  <si>
    <t>TATASTEEL</t>
  </si>
  <si>
    <t>INE081A01020</t>
  </si>
  <si>
    <t>METALS</t>
  </si>
  <si>
    <t>TMCV</t>
  </si>
  <si>
    <t>INE1TAE01010</t>
  </si>
  <si>
    <t>AUTO ANCILLARY</t>
  </si>
  <si>
    <t>TMPV</t>
  </si>
  <si>
    <t>INE155A01022</t>
  </si>
  <si>
    <t>WIPRO</t>
  </si>
  <si>
    <t>INE075A01022</t>
  </si>
  <si>
    <t>ZYDUSLIFE</t>
  </si>
  <si>
    <t>INE010B01027</t>
  </si>
  <si>
    <t>Mutual Funds Holdings Statement as on 2026-01-20</t>
  </si>
  <si>
    <t>Instrument Type</t>
  </si>
  <si>
    <t>AXIS ELSS TAX SAVER FUND - DIRECT PLAN</t>
  </si>
  <si>
    <t>INF846K01EW2</t>
  </si>
  <si>
    <t>{Equity - ELSS true}</t>
  </si>
  <si>
    <t>Combined Holdings Statement as on 2026-01-20</t>
  </si>
  <si>
    <t>Unrealize P&amp;L Pct.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</si>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</sst>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upport.zerodha.com/category/console/reports/taxation/articles/things-to-consider-when-filing-taxes-using-zerodha-s-repor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2"/>
  <sheetViews>
    <sheetView showGridLines="0" tabSelected="1" topLeftCell="C19" zoomScale="105" workbookViewId="0">
      <selection activeCell="C24" sqref="C24"/>
    </sheetView>
  </sheetViews>
  <sheetFormatPr defaultColWidth="15" defaultRowHeight="14.4" x14ac:dyDescent="0.3"/>
  <cols>
    <col min="1" max="1" width="2" customWidth="1"/>
    <col min="2" max="2" width="22" customWidth="1"/>
  </cols>
  <sheetData>
    <row r="1" spans="2:3" ht="12" customHeight="1" x14ac:dyDescent="0.3"/>
    <row r="4" spans="2:3" x14ac:dyDescent="0.3">
      <c r="B4" t="s">
        <v>0</v>
      </c>
    </row>
    <row r="7" spans="2:3" x14ac:dyDescent="0.3">
      <c r="B7" s="2" t="s">
        <v>1</v>
      </c>
      <c r="C7" s="2" t="s">
        <v>2</v>
      </c>
    </row>
    <row r="8" spans="2:3" x14ac:dyDescent="0.3">
      <c r="B8" s="2"/>
      <c r="C8" s="2"/>
    </row>
    <row r="9" spans="2:3" x14ac:dyDescent="0.3">
      <c r="B9" s="2"/>
      <c r="C9" s="2"/>
    </row>
    <row r="11" spans="2:3" x14ac:dyDescent="0.3">
      <c r="B11" s="2" t="s">
        <v>3</v>
      </c>
    </row>
    <row r="13" spans="2:3" x14ac:dyDescent="0.3">
      <c r="B13" s="2" t="s">
        <v>4</v>
      </c>
    </row>
    <row r="15" spans="2:3" x14ac:dyDescent="0.3">
      <c r="B15" t="s">
        <v>5</v>
      </c>
      <c r="C15" s="1">
        <v>742945.63789999997</v>
      </c>
    </row>
    <row r="16" spans="2:3" x14ac:dyDescent="0.3">
      <c r="B16" t="s">
        <v>6</v>
      </c>
      <c r="C16" s="1">
        <v>737629.09</v>
      </c>
    </row>
    <row r="17" spans="2:14" x14ac:dyDescent="0.3">
      <c r="B17" t="s">
        <v>7</v>
      </c>
      <c r="C17" s="1">
        <v>-5316.5478999999996</v>
      </c>
    </row>
    <row r="18" spans="2:14" x14ac:dyDescent="0.3">
      <c r="B18" t="s">
        <v>8</v>
      </c>
      <c r="C18" s="1">
        <v>-0.71560000000000001</v>
      </c>
    </row>
    <row r="21" spans="2:14" x14ac:dyDescent="0.3">
      <c r="B21" s="2" t="s">
        <v>9</v>
      </c>
    </row>
    <row r="23" spans="2:14" x14ac:dyDescent="0.3">
      <c r="B23" s="2" t="s">
        <v>10</v>
      </c>
      <c r="C23" s="2" t="s">
        <v>11</v>
      </c>
      <c r="D23" s="2" t="s">
        <v>12</v>
      </c>
      <c r="E23" s="2" t="s">
        <v>13</v>
      </c>
      <c r="F23" s="2" t="s">
        <v>14</v>
      </c>
      <c r="G23" s="2" t="s">
        <v>15</v>
      </c>
      <c r="H23" s="2" t="s">
        <v>16</v>
      </c>
      <c r="I23" s="2" t="s">
        <v>17</v>
      </c>
      <c r="J23" s="2" t="s">
        <v>18</v>
      </c>
      <c r="K23" s="2" t="s">
        <v>19</v>
      </c>
      <c r="L23" s="2" t="s">
        <v>7</v>
      </c>
      <c r="M23" s="2" t="s">
        <v>8</v>
      </c>
    </row>
    <row r="24" spans="2:14" x14ac:dyDescent="0.3">
      <c r="B24" t="s">
        <v>20</v>
      </c>
      <c r="C24" t="s">
        <v>21</v>
      </c>
      <c r="D24" t="s">
        <v>22</v>
      </c>
      <c r="E24" s="1">
        <v>20</v>
      </c>
      <c r="F24" s="1">
        <v>0</v>
      </c>
      <c r="G24" s="1">
        <v>5</v>
      </c>
      <c r="H24" s="1">
        <v>0</v>
      </c>
      <c r="I24" s="1">
        <v>0</v>
      </c>
      <c r="J24" s="1">
        <v>1185.5925</v>
      </c>
      <c r="K24" s="1">
        <v>1167.2</v>
      </c>
      <c r="L24" s="1">
        <v>-367.85</v>
      </c>
      <c r="M24" s="1">
        <v>-1.5512999999999999</v>
      </c>
      <c r="N24">
        <f>J24*E24</f>
        <v>23711.85</v>
      </c>
    </row>
    <row r="25" spans="2:14" x14ac:dyDescent="0.3">
      <c r="B25" t="s">
        <v>23</v>
      </c>
      <c r="C25" t="s">
        <v>24</v>
      </c>
      <c r="D25" t="s">
        <v>25</v>
      </c>
      <c r="E25" s="1">
        <v>994</v>
      </c>
      <c r="F25" s="1">
        <v>0</v>
      </c>
      <c r="G25" s="1">
        <v>0</v>
      </c>
      <c r="H25" s="1">
        <v>0</v>
      </c>
      <c r="I25" s="1">
        <v>0</v>
      </c>
      <c r="J25" s="1">
        <v>110.4624</v>
      </c>
      <c r="K25" s="1">
        <v>121.11</v>
      </c>
      <c r="L25" s="1">
        <v>10583.76</v>
      </c>
      <c r="M25" s="1">
        <v>9.6392000000000007</v>
      </c>
      <c r="N25">
        <f t="shared" ref="N25:N41" si="0">J25*E25</f>
        <v>109799.6256</v>
      </c>
    </row>
    <row r="26" spans="2:14" x14ac:dyDescent="0.3">
      <c r="B26" t="s">
        <v>26</v>
      </c>
      <c r="C26" t="s">
        <v>27</v>
      </c>
      <c r="D26" t="s">
        <v>28</v>
      </c>
      <c r="E26" s="1">
        <v>1180</v>
      </c>
      <c r="F26" s="1">
        <v>0</v>
      </c>
      <c r="G26" s="1">
        <v>1150</v>
      </c>
      <c r="H26" s="1">
        <v>0</v>
      </c>
      <c r="I26" s="1">
        <v>0</v>
      </c>
      <c r="J26" s="1">
        <v>82.155799999999999</v>
      </c>
      <c r="K26" s="1">
        <v>83.12</v>
      </c>
      <c r="L26" s="1">
        <v>1137.75</v>
      </c>
      <c r="M26" s="1">
        <v>1.1736</v>
      </c>
      <c r="N26">
        <f t="shared" si="0"/>
        <v>96943.843999999997</v>
      </c>
    </row>
    <row r="27" spans="2:14" x14ac:dyDescent="0.3">
      <c r="B27" t="s">
        <v>29</v>
      </c>
      <c r="C27" t="s">
        <v>30</v>
      </c>
      <c r="D27" t="s">
        <v>28</v>
      </c>
      <c r="E27" s="1">
        <v>20</v>
      </c>
      <c r="F27" s="1">
        <v>0</v>
      </c>
      <c r="G27" s="1">
        <v>0</v>
      </c>
      <c r="H27" s="1">
        <v>0</v>
      </c>
      <c r="I27" s="1">
        <v>0</v>
      </c>
      <c r="J27" s="1">
        <v>753.8</v>
      </c>
      <c r="K27" s="1">
        <v>949.8</v>
      </c>
      <c r="L27" s="1">
        <v>3920</v>
      </c>
      <c r="M27" s="1">
        <v>26.0016</v>
      </c>
      <c r="N27">
        <f t="shared" si="0"/>
        <v>15076</v>
      </c>
    </row>
    <row r="28" spans="2:14" x14ac:dyDescent="0.3">
      <c r="B28" t="s">
        <v>31</v>
      </c>
      <c r="C28" t="s">
        <v>32</v>
      </c>
      <c r="D28" t="s">
        <v>33</v>
      </c>
      <c r="E28" s="1">
        <v>15</v>
      </c>
      <c r="F28" s="1">
        <v>0</v>
      </c>
      <c r="G28" s="1">
        <v>9</v>
      </c>
      <c r="H28" s="1">
        <v>0</v>
      </c>
      <c r="I28" s="1">
        <v>0</v>
      </c>
      <c r="J28" s="1">
        <v>1624.0867000000001</v>
      </c>
      <c r="K28" s="1">
        <v>1681.2</v>
      </c>
      <c r="L28" s="1">
        <v>856.7</v>
      </c>
      <c r="M28" s="1">
        <v>3.5165999999999999</v>
      </c>
      <c r="N28">
        <f t="shared" si="0"/>
        <v>24361.300500000001</v>
      </c>
    </row>
    <row r="29" spans="2:14" x14ac:dyDescent="0.3">
      <c r="B29" t="s">
        <v>34</v>
      </c>
      <c r="C29" t="s">
        <v>35</v>
      </c>
      <c r="D29" t="s">
        <v>36</v>
      </c>
      <c r="E29" s="1">
        <v>234</v>
      </c>
      <c r="F29" s="1">
        <v>0</v>
      </c>
      <c r="G29" s="1">
        <v>135</v>
      </c>
      <c r="H29" s="1">
        <v>0</v>
      </c>
      <c r="I29" s="1">
        <v>0</v>
      </c>
      <c r="J29" s="1">
        <v>386.56259999999997</v>
      </c>
      <c r="K29" s="1">
        <v>333.2</v>
      </c>
      <c r="L29" s="1">
        <v>-12486.847900000001</v>
      </c>
      <c r="M29" s="1">
        <v>-13.804399999999999</v>
      </c>
      <c r="N29">
        <f t="shared" si="0"/>
        <v>90455.648399999991</v>
      </c>
    </row>
    <row r="30" spans="2:14" x14ac:dyDescent="0.3">
      <c r="B30" t="s">
        <v>37</v>
      </c>
      <c r="C30" t="s">
        <v>38</v>
      </c>
      <c r="D30" t="s">
        <v>28</v>
      </c>
      <c r="E30" s="1">
        <v>193</v>
      </c>
      <c r="F30" s="1">
        <v>0</v>
      </c>
      <c r="G30" s="1">
        <v>68</v>
      </c>
      <c r="H30" s="1">
        <v>0</v>
      </c>
      <c r="I30" s="1">
        <v>0</v>
      </c>
      <c r="J30" s="1">
        <v>195.81729999999999</v>
      </c>
      <c r="K30" s="1">
        <v>189.1</v>
      </c>
      <c r="L30" s="1">
        <v>-1296.44</v>
      </c>
      <c r="M30" s="1">
        <v>-3.4304000000000001</v>
      </c>
      <c r="N30">
        <f t="shared" si="0"/>
        <v>37792.738899999997</v>
      </c>
    </row>
    <row r="31" spans="2:14" x14ac:dyDescent="0.3">
      <c r="B31" t="s">
        <v>39</v>
      </c>
      <c r="C31" t="s">
        <v>40</v>
      </c>
      <c r="D31" t="s">
        <v>28</v>
      </c>
      <c r="E31" s="1">
        <v>80</v>
      </c>
      <c r="F31" s="1">
        <v>0</v>
      </c>
      <c r="G31" s="1">
        <v>68</v>
      </c>
      <c r="H31" s="1">
        <v>0</v>
      </c>
      <c r="I31" s="1">
        <v>0</v>
      </c>
      <c r="J31" s="1">
        <v>191.5351</v>
      </c>
      <c r="K31" s="1">
        <v>314.45</v>
      </c>
      <c r="L31" s="1">
        <v>9833.19</v>
      </c>
      <c r="M31" s="1">
        <v>64.173500000000004</v>
      </c>
      <c r="N31">
        <f t="shared" si="0"/>
        <v>15322.808000000001</v>
      </c>
    </row>
    <row r="32" spans="2:14" x14ac:dyDescent="0.3">
      <c r="B32" t="s">
        <v>41</v>
      </c>
      <c r="C32" t="s">
        <v>42</v>
      </c>
      <c r="D32" t="s">
        <v>43</v>
      </c>
      <c r="E32" s="1">
        <v>120</v>
      </c>
      <c r="F32" s="1">
        <v>0</v>
      </c>
      <c r="G32" s="1">
        <v>105</v>
      </c>
      <c r="H32" s="1">
        <v>0</v>
      </c>
      <c r="I32" s="1">
        <v>0</v>
      </c>
      <c r="J32" s="1">
        <v>222.04949999999999</v>
      </c>
      <c r="K32" s="1">
        <v>181.07</v>
      </c>
      <c r="L32" s="1">
        <v>-4917.54</v>
      </c>
      <c r="M32" s="1">
        <v>-18.455100000000002</v>
      </c>
      <c r="N32">
        <f t="shared" si="0"/>
        <v>26645.94</v>
      </c>
    </row>
    <row r="33" spans="2:14" x14ac:dyDescent="0.3">
      <c r="B33" t="s">
        <v>44</v>
      </c>
      <c r="C33" t="s">
        <v>45</v>
      </c>
      <c r="D33" t="s">
        <v>22</v>
      </c>
      <c r="E33" s="1">
        <v>42</v>
      </c>
      <c r="F33" s="1">
        <v>0</v>
      </c>
      <c r="G33" s="1">
        <v>27</v>
      </c>
      <c r="H33" s="1">
        <v>0</v>
      </c>
      <c r="I33" s="1">
        <v>0</v>
      </c>
      <c r="J33" s="1">
        <v>1044.0999999999999</v>
      </c>
      <c r="K33" s="1">
        <v>845.75</v>
      </c>
      <c r="L33" s="1">
        <v>-8330.7000000000007</v>
      </c>
      <c r="M33" s="1">
        <v>-18.997199999999999</v>
      </c>
      <c r="N33">
        <f t="shared" si="0"/>
        <v>43852.2</v>
      </c>
    </row>
    <row r="34" spans="2:14" x14ac:dyDescent="0.3">
      <c r="B34" t="s">
        <v>46</v>
      </c>
      <c r="C34" t="s">
        <v>47</v>
      </c>
      <c r="D34" t="s">
        <v>48</v>
      </c>
      <c r="E34" s="1">
        <v>60</v>
      </c>
      <c r="F34" s="1">
        <v>0</v>
      </c>
      <c r="G34" s="1">
        <v>0</v>
      </c>
      <c r="H34" s="1">
        <v>0</v>
      </c>
      <c r="I34" s="1">
        <v>0</v>
      </c>
      <c r="J34" s="1">
        <v>235.8537</v>
      </c>
      <c r="K34" s="1">
        <v>243.11</v>
      </c>
      <c r="L34" s="1">
        <v>435.38</v>
      </c>
      <c r="M34" s="1">
        <v>3.0766</v>
      </c>
      <c r="N34">
        <f t="shared" si="0"/>
        <v>14151.222</v>
      </c>
    </row>
    <row r="35" spans="2:14" x14ac:dyDescent="0.3">
      <c r="B35" t="s">
        <v>49</v>
      </c>
      <c r="C35" t="s">
        <v>50</v>
      </c>
      <c r="D35" t="s">
        <v>28</v>
      </c>
      <c r="E35" s="1">
        <v>170</v>
      </c>
      <c r="F35" s="1">
        <v>0</v>
      </c>
      <c r="G35" s="1">
        <v>100</v>
      </c>
      <c r="H35" s="1">
        <v>0</v>
      </c>
      <c r="I35" s="1">
        <v>0</v>
      </c>
      <c r="J35" s="1">
        <v>450.80470000000003</v>
      </c>
      <c r="K35" s="1">
        <v>370.1</v>
      </c>
      <c r="L35" s="1">
        <v>-13719.8</v>
      </c>
      <c r="M35" s="1">
        <v>-17.9024</v>
      </c>
      <c r="N35">
        <f t="shared" si="0"/>
        <v>76636.798999999999</v>
      </c>
    </row>
    <row r="36" spans="2:14" x14ac:dyDescent="0.3">
      <c r="B36" t="s">
        <v>51</v>
      </c>
      <c r="C36" t="s">
        <v>52</v>
      </c>
      <c r="D36" t="s">
        <v>28</v>
      </c>
      <c r="E36" s="1">
        <v>460</v>
      </c>
      <c r="F36" s="1">
        <v>0</v>
      </c>
      <c r="G36" s="1">
        <v>230</v>
      </c>
      <c r="H36" s="1">
        <v>0</v>
      </c>
      <c r="I36" s="1">
        <v>0</v>
      </c>
      <c r="J36" s="1">
        <v>28.562000000000001</v>
      </c>
      <c r="K36" s="1">
        <v>45.1</v>
      </c>
      <c r="L36" s="1">
        <v>7607.5</v>
      </c>
      <c r="M36" s="1">
        <v>57.902299999999997</v>
      </c>
      <c r="N36">
        <f t="shared" si="0"/>
        <v>13138.52</v>
      </c>
    </row>
    <row r="37" spans="2:14" x14ac:dyDescent="0.3">
      <c r="B37" t="s">
        <v>53</v>
      </c>
      <c r="C37" t="s">
        <v>54</v>
      </c>
      <c r="D37" t="s">
        <v>55</v>
      </c>
      <c r="E37" s="1">
        <v>225</v>
      </c>
      <c r="F37" s="1">
        <v>0</v>
      </c>
      <c r="G37" s="1">
        <v>225</v>
      </c>
      <c r="H37" s="1">
        <v>0</v>
      </c>
      <c r="I37" s="1">
        <v>0</v>
      </c>
      <c r="J37" s="1">
        <v>157.54409999999999</v>
      </c>
      <c r="K37" s="1">
        <v>188.27</v>
      </c>
      <c r="L37" s="1">
        <v>6913.33</v>
      </c>
      <c r="M37" s="1">
        <v>19.5031</v>
      </c>
      <c r="N37">
        <f t="shared" si="0"/>
        <v>35447.422499999993</v>
      </c>
    </row>
    <row r="38" spans="2:14" x14ac:dyDescent="0.3">
      <c r="B38" t="s">
        <v>56</v>
      </c>
      <c r="C38" t="s">
        <v>57</v>
      </c>
      <c r="D38" t="s">
        <v>58</v>
      </c>
      <c r="E38" s="1">
        <v>67</v>
      </c>
      <c r="F38" s="1">
        <v>0</v>
      </c>
      <c r="G38" s="1">
        <v>41</v>
      </c>
      <c r="H38" s="1">
        <v>0</v>
      </c>
      <c r="I38" s="1">
        <v>0</v>
      </c>
      <c r="J38" s="1">
        <v>275.0324</v>
      </c>
      <c r="K38" s="1">
        <v>441.4</v>
      </c>
      <c r="L38" s="1">
        <v>11146.629300000001</v>
      </c>
      <c r="M38" s="1">
        <v>60.490200000000002</v>
      </c>
      <c r="N38">
        <f t="shared" si="0"/>
        <v>18427.1708</v>
      </c>
    </row>
    <row r="39" spans="2:14" x14ac:dyDescent="0.3">
      <c r="B39" t="s">
        <v>59</v>
      </c>
      <c r="C39" t="s">
        <v>60</v>
      </c>
      <c r="D39" t="s">
        <v>58</v>
      </c>
      <c r="E39" s="1">
        <v>70</v>
      </c>
      <c r="F39" s="1">
        <v>0</v>
      </c>
      <c r="G39" s="1">
        <v>41</v>
      </c>
      <c r="H39" s="1">
        <v>0</v>
      </c>
      <c r="I39" s="1">
        <v>0</v>
      </c>
      <c r="J39" s="1">
        <v>554.63260000000002</v>
      </c>
      <c r="K39" s="1">
        <v>344</v>
      </c>
      <c r="L39" s="1">
        <v>-14744.279200000001</v>
      </c>
      <c r="M39" s="1">
        <v>-37.976999999999997</v>
      </c>
      <c r="N39">
        <f t="shared" si="0"/>
        <v>38824.281999999999</v>
      </c>
    </row>
    <row r="40" spans="2:14" x14ac:dyDescent="0.3">
      <c r="B40" t="s">
        <v>61</v>
      </c>
      <c r="C40" t="s">
        <v>62</v>
      </c>
      <c r="D40" t="s">
        <v>33</v>
      </c>
      <c r="E40" s="1">
        <v>210</v>
      </c>
      <c r="F40" s="1">
        <v>0</v>
      </c>
      <c r="G40" s="1">
        <v>160</v>
      </c>
      <c r="H40" s="1">
        <v>0</v>
      </c>
      <c r="I40" s="1">
        <v>0</v>
      </c>
      <c r="J40" s="1">
        <v>255.29679999999999</v>
      </c>
      <c r="K40" s="1">
        <v>246</v>
      </c>
      <c r="L40" s="1">
        <v>-1952.33</v>
      </c>
      <c r="M40" s="1">
        <v>-3.6415999999999999</v>
      </c>
      <c r="N40">
        <f t="shared" si="0"/>
        <v>53612.328000000001</v>
      </c>
    </row>
    <row r="41" spans="2:14" x14ac:dyDescent="0.3">
      <c r="B41" t="s">
        <v>63</v>
      </c>
      <c r="C41" t="s">
        <v>64</v>
      </c>
      <c r="D41" t="s">
        <v>22</v>
      </c>
      <c r="E41" s="1">
        <v>10</v>
      </c>
      <c r="F41" s="1">
        <v>0</v>
      </c>
      <c r="G41" s="1">
        <v>0</v>
      </c>
      <c r="H41" s="1">
        <v>0</v>
      </c>
      <c r="I41" s="1">
        <v>0</v>
      </c>
      <c r="J41" s="1">
        <v>874.6</v>
      </c>
      <c r="K41" s="1">
        <v>881.1</v>
      </c>
      <c r="L41" s="1">
        <v>65</v>
      </c>
      <c r="M41" s="1">
        <v>0.74319999999999997</v>
      </c>
      <c r="N41">
        <f t="shared" si="0"/>
        <v>8746</v>
      </c>
    </row>
    <row r="42" spans="2:14" x14ac:dyDescent="0.3">
      <c r="N42">
        <f>SUM(N24:N41)</f>
        <v>742945.6997</v>
      </c>
    </row>
  </sheetData>
  <hyperlinks>
    <hyperlink ref="B4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24"/>
  <sheetViews>
    <sheetView showGridLines="0" workbookViewId="0"/>
  </sheetViews>
  <sheetFormatPr defaultColWidth="15" defaultRowHeight="14.4" x14ac:dyDescent="0.3"/>
  <cols>
    <col min="1" max="1" width="2" customWidth="1"/>
    <col min="2" max="2" width="22" customWidth="1"/>
  </cols>
  <sheetData>
    <row r="1" spans="2:3" ht="12" customHeight="1" x14ac:dyDescent="0.3"/>
    <row r="7" spans="2:3" x14ac:dyDescent="0.3">
      <c r="B7" s="2" t="s">
        <v>1</v>
      </c>
      <c r="C7" s="2" t="s">
        <v>2</v>
      </c>
    </row>
    <row r="8" spans="2:3" x14ac:dyDescent="0.3">
      <c r="B8" s="2"/>
      <c r="C8" s="2"/>
    </row>
    <row r="9" spans="2:3" x14ac:dyDescent="0.3">
      <c r="B9" s="2"/>
      <c r="C9" s="2"/>
    </row>
    <row r="11" spans="2:3" x14ac:dyDescent="0.3">
      <c r="B11" s="2" t="s">
        <v>65</v>
      </c>
    </row>
    <row r="13" spans="2:3" x14ac:dyDescent="0.3">
      <c r="B13" s="2" t="s">
        <v>4</v>
      </c>
    </row>
    <row r="15" spans="2:3" x14ac:dyDescent="0.3">
      <c r="B15" t="s">
        <v>5</v>
      </c>
      <c r="C15" s="1">
        <v>4516.1264000000001</v>
      </c>
    </row>
    <row r="16" spans="2:3" x14ac:dyDescent="0.3">
      <c r="B16" t="s">
        <v>6</v>
      </c>
      <c r="C16" s="1">
        <v>5754.9044999999996</v>
      </c>
    </row>
    <row r="17" spans="2:12" x14ac:dyDescent="0.3">
      <c r="B17" t="s">
        <v>7</v>
      </c>
      <c r="C17" s="1">
        <v>1238.778</v>
      </c>
    </row>
    <row r="18" spans="2:12" x14ac:dyDescent="0.3">
      <c r="B18" t="s">
        <v>8</v>
      </c>
      <c r="C18" s="1">
        <v>27.430099999999999</v>
      </c>
    </row>
    <row r="21" spans="2:12" x14ac:dyDescent="0.3">
      <c r="B21" s="2" t="s">
        <v>9</v>
      </c>
    </row>
    <row r="23" spans="2:12" x14ac:dyDescent="0.3">
      <c r="B23" s="2" t="s">
        <v>10</v>
      </c>
      <c r="C23" s="2" t="s">
        <v>11</v>
      </c>
      <c r="D23" s="2" t="s">
        <v>66</v>
      </c>
      <c r="E23" s="2" t="s">
        <v>13</v>
      </c>
      <c r="F23" s="2" t="s">
        <v>14</v>
      </c>
      <c r="G23" s="2" t="s">
        <v>16</v>
      </c>
      <c r="H23" s="2" t="s">
        <v>17</v>
      </c>
      <c r="I23" s="2" t="s">
        <v>18</v>
      </c>
      <c r="J23" s="2" t="s">
        <v>19</v>
      </c>
      <c r="K23" s="2" t="s">
        <v>7</v>
      </c>
      <c r="L23" s="2" t="s">
        <v>8</v>
      </c>
    </row>
    <row r="24" spans="2:12" x14ac:dyDescent="0.3">
      <c r="B24" t="s">
        <v>67</v>
      </c>
      <c r="C24" t="s">
        <v>68</v>
      </c>
      <c r="D24" t="s">
        <v>69</v>
      </c>
      <c r="E24" s="1">
        <v>52.97</v>
      </c>
      <c r="F24" s="1">
        <v>0</v>
      </c>
      <c r="G24" s="1">
        <v>0</v>
      </c>
      <c r="H24" s="1">
        <v>0</v>
      </c>
      <c r="I24" s="1">
        <v>85.258200000000002</v>
      </c>
      <c r="J24" s="1">
        <v>108.6446</v>
      </c>
      <c r="K24" s="1">
        <v>1238.778</v>
      </c>
      <c r="L24" s="1">
        <v>27.430099999999999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42"/>
  <sheetViews>
    <sheetView showGridLines="0" workbookViewId="0"/>
  </sheetViews>
  <sheetFormatPr defaultColWidth="15" defaultRowHeight="14.4" x14ac:dyDescent="0.3"/>
  <cols>
    <col min="1" max="1" width="2" customWidth="1"/>
    <col min="2" max="2" width="22" customWidth="1"/>
  </cols>
  <sheetData>
    <row r="1" spans="2:3" ht="12" customHeight="1" x14ac:dyDescent="0.3"/>
    <row r="7" spans="2:3" x14ac:dyDescent="0.3">
      <c r="B7" s="2" t="s">
        <v>1</v>
      </c>
      <c r="C7" s="2" t="s">
        <v>2</v>
      </c>
    </row>
    <row r="8" spans="2:3" x14ac:dyDescent="0.3">
      <c r="B8" s="2"/>
      <c r="C8" s="2"/>
    </row>
    <row r="9" spans="2:3" x14ac:dyDescent="0.3">
      <c r="B9" s="2"/>
      <c r="C9" s="2"/>
    </row>
    <row r="11" spans="2:3" x14ac:dyDescent="0.3">
      <c r="B11" s="2" t="s">
        <v>70</v>
      </c>
    </row>
    <row r="13" spans="2:3" x14ac:dyDescent="0.3">
      <c r="B13" s="2" t="s">
        <v>4</v>
      </c>
    </row>
    <row r="15" spans="2:3" x14ac:dyDescent="0.3">
      <c r="B15" t="s">
        <v>5</v>
      </c>
      <c r="C15" s="1">
        <v>747461.76430000004</v>
      </c>
    </row>
    <row r="16" spans="2:3" x14ac:dyDescent="0.3">
      <c r="B16" t="s">
        <v>6</v>
      </c>
      <c r="C16" s="1">
        <v>743383.99450000003</v>
      </c>
    </row>
    <row r="17" spans="2:14" x14ac:dyDescent="0.3">
      <c r="B17" t="s">
        <v>7</v>
      </c>
      <c r="C17" s="1">
        <v>-4077.7698</v>
      </c>
    </row>
    <row r="18" spans="2:14" x14ac:dyDescent="0.3">
      <c r="B18" t="s">
        <v>8</v>
      </c>
      <c r="C18" s="1">
        <v>-0.54549999999999998</v>
      </c>
    </row>
    <row r="21" spans="2:14" x14ac:dyDescent="0.3">
      <c r="B21" s="2" t="s">
        <v>9</v>
      </c>
    </row>
    <row r="23" spans="2:14" x14ac:dyDescent="0.3">
      <c r="B23" s="2" t="s">
        <v>10</v>
      </c>
      <c r="C23" s="2" t="s">
        <v>11</v>
      </c>
      <c r="D23" s="2" t="s">
        <v>12</v>
      </c>
      <c r="E23" s="2" t="s">
        <v>66</v>
      </c>
      <c r="F23" s="2" t="s">
        <v>13</v>
      </c>
      <c r="G23" s="2" t="s">
        <v>14</v>
      </c>
      <c r="H23" s="2" t="s">
        <v>15</v>
      </c>
      <c r="I23" s="2" t="s">
        <v>16</v>
      </c>
      <c r="J23" s="2" t="s">
        <v>17</v>
      </c>
      <c r="K23" s="2" t="s">
        <v>18</v>
      </c>
      <c r="L23" s="2" t="s">
        <v>19</v>
      </c>
      <c r="M23" s="2" t="s">
        <v>7</v>
      </c>
      <c r="N23" s="2" t="s">
        <v>71</v>
      </c>
    </row>
    <row r="24" spans="2:14" x14ac:dyDescent="0.3">
      <c r="B24" t="s">
        <v>20</v>
      </c>
      <c r="C24" t="s">
        <v>21</v>
      </c>
      <c r="D24" t="s">
        <v>22</v>
      </c>
      <c r="E24" t="s">
        <v>72</v>
      </c>
      <c r="F24" s="1">
        <v>20</v>
      </c>
      <c r="G24" s="1">
        <v>0</v>
      </c>
      <c r="H24" s="1">
        <v>5</v>
      </c>
      <c r="I24" s="1">
        <v>0</v>
      </c>
      <c r="J24" s="1">
        <v>0</v>
      </c>
      <c r="K24" s="1">
        <v>1185.5925</v>
      </c>
      <c r="L24" s="1">
        <v>1167.2</v>
      </c>
      <c r="M24" s="1">
        <v>-367.85</v>
      </c>
      <c r="N24" s="1">
        <v>-1.5512999999999999</v>
      </c>
    </row>
    <row r="25" spans="2:14" x14ac:dyDescent="0.3">
      <c r="B25" t="s">
        <v>23</v>
      </c>
      <c r="C25" t="s">
        <v>24</v>
      </c>
      <c r="D25" t="s">
        <v>25</v>
      </c>
      <c r="E25" t="s">
        <v>72</v>
      </c>
      <c r="F25" s="1">
        <v>994</v>
      </c>
      <c r="G25" s="1">
        <v>0</v>
      </c>
      <c r="H25" s="1">
        <v>0</v>
      </c>
      <c r="I25" s="1">
        <v>0</v>
      </c>
      <c r="J25" s="1">
        <v>0</v>
      </c>
      <c r="K25" s="1">
        <v>110.4624</v>
      </c>
      <c r="L25" s="1">
        <v>121.11</v>
      </c>
      <c r="M25" s="1">
        <v>10583.76</v>
      </c>
      <c r="N25" s="1">
        <v>9.6392000000000007</v>
      </c>
    </row>
    <row r="26" spans="2:14" x14ac:dyDescent="0.3">
      <c r="B26" t="s">
        <v>26</v>
      </c>
      <c r="C26" t="s">
        <v>27</v>
      </c>
      <c r="D26" t="s">
        <v>28</v>
      </c>
      <c r="E26" t="s">
        <v>72</v>
      </c>
      <c r="F26" s="1">
        <v>1180</v>
      </c>
      <c r="G26" s="1">
        <v>0</v>
      </c>
      <c r="H26" s="1">
        <v>1150</v>
      </c>
      <c r="I26" s="1">
        <v>0</v>
      </c>
      <c r="J26" s="1">
        <v>0</v>
      </c>
      <c r="K26" s="1">
        <v>82.155799999999999</v>
      </c>
      <c r="L26" s="1">
        <v>83.12</v>
      </c>
      <c r="M26" s="1">
        <v>1137.75</v>
      </c>
      <c r="N26" s="1">
        <v>1.1736</v>
      </c>
    </row>
    <row r="27" spans="2:14" x14ac:dyDescent="0.3">
      <c r="B27" t="s">
        <v>29</v>
      </c>
      <c r="C27" t="s">
        <v>30</v>
      </c>
      <c r="D27" t="s">
        <v>28</v>
      </c>
      <c r="E27" t="s">
        <v>72</v>
      </c>
      <c r="F27" s="1">
        <v>20</v>
      </c>
      <c r="G27" s="1">
        <v>0</v>
      </c>
      <c r="H27" s="1">
        <v>0</v>
      </c>
      <c r="I27" s="1">
        <v>0</v>
      </c>
      <c r="J27" s="1">
        <v>0</v>
      </c>
      <c r="K27" s="1">
        <v>753.8</v>
      </c>
      <c r="L27" s="1">
        <v>949.8</v>
      </c>
      <c r="M27" s="1">
        <v>3920</v>
      </c>
      <c r="N27" s="1">
        <v>26.0016</v>
      </c>
    </row>
    <row r="28" spans="2:14" x14ac:dyDescent="0.3">
      <c r="B28" t="s">
        <v>31</v>
      </c>
      <c r="C28" t="s">
        <v>32</v>
      </c>
      <c r="D28" t="s">
        <v>33</v>
      </c>
      <c r="E28" t="s">
        <v>72</v>
      </c>
      <c r="F28" s="1">
        <v>15</v>
      </c>
      <c r="G28" s="1">
        <v>0</v>
      </c>
      <c r="H28" s="1">
        <v>9</v>
      </c>
      <c r="I28" s="1">
        <v>0</v>
      </c>
      <c r="J28" s="1">
        <v>0</v>
      </c>
      <c r="K28" s="1">
        <v>1624.0867000000001</v>
      </c>
      <c r="L28" s="1">
        <v>1681.2</v>
      </c>
      <c r="M28" s="1">
        <v>856.7</v>
      </c>
      <c r="N28" s="1">
        <v>3.5165999999999999</v>
      </c>
    </row>
    <row r="29" spans="2:14" x14ac:dyDescent="0.3">
      <c r="B29" t="s">
        <v>34</v>
      </c>
      <c r="C29" t="s">
        <v>35</v>
      </c>
      <c r="D29" t="s">
        <v>36</v>
      </c>
      <c r="E29" t="s">
        <v>72</v>
      </c>
      <c r="F29" s="1">
        <v>234</v>
      </c>
      <c r="G29" s="1">
        <v>0</v>
      </c>
      <c r="H29" s="1">
        <v>135</v>
      </c>
      <c r="I29" s="1">
        <v>0</v>
      </c>
      <c r="J29" s="1">
        <v>0</v>
      </c>
      <c r="K29" s="1">
        <v>386.56259999999997</v>
      </c>
      <c r="L29" s="1">
        <v>333.2</v>
      </c>
      <c r="M29" s="1">
        <v>-12486.847900000001</v>
      </c>
      <c r="N29" s="1">
        <v>-13.804399999999999</v>
      </c>
    </row>
    <row r="30" spans="2:14" x14ac:dyDescent="0.3">
      <c r="B30" t="s">
        <v>37</v>
      </c>
      <c r="C30" t="s">
        <v>38</v>
      </c>
      <c r="D30" t="s">
        <v>28</v>
      </c>
      <c r="E30" t="s">
        <v>72</v>
      </c>
      <c r="F30" s="1">
        <v>193</v>
      </c>
      <c r="G30" s="1">
        <v>0</v>
      </c>
      <c r="H30" s="1">
        <v>68</v>
      </c>
      <c r="I30" s="1">
        <v>0</v>
      </c>
      <c r="J30" s="1">
        <v>0</v>
      </c>
      <c r="K30" s="1">
        <v>195.81729999999999</v>
      </c>
      <c r="L30" s="1">
        <v>189.1</v>
      </c>
      <c r="M30" s="1">
        <v>-1296.44</v>
      </c>
      <c r="N30" s="1">
        <v>-3.4304000000000001</v>
      </c>
    </row>
    <row r="31" spans="2:14" x14ac:dyDescent="0.3">
      <c r="B31" t="s">
        <v>39</v>
      </c>
      <c r="C31" t="s">
        <v>40</v>
      </c>
      <c r="D31" t="s">
        <v>28</v>
      </c>
      <c r="E31" t="s">
        <v>72</v>
      </c>
      <c r="F31" s="1">
        <v>80</v>
      </c>
      <c r="G31" s="1">
        <v>0</v>
      </c>
      <c r="H31" s="1">
        <v>68</v>
      </c>
      <c r="I31" s="1">
        <v>0</v>
      </c>
      <c r="J31" s="1">
        <v>0</v>
      </c>
      <c r="K31" s="1">
        <v>191.5351</v>
      </c>
      <c r="L31" s="1">
        <v>314.45</v>
      </c>
      <c r="M31" s="1">
        <v>9833.19</v>
      </c>
      <c r="N31" s="1">
        <v>64.173500000000004</v>
      </c>
    </row>
    <row r="32" spans="2:14" x14ac:dyDescent="0.3">
      <c r="B32" t="s">
        <v>41</v>
      </c>
      <c r="C32" t="s">
        <v>42</v>
      </c>
      <c r="D32" t="s">
        <v>43</v>
      </c>
      <c r="E32" t="s">
        <v>72</v>
      </c>
      <c r="F32" s="1">
        <v>120</v>
      </c>
      <c r="G32" s="1">
        <v>0</v>
      </c>
      <c r="H32" s="1">
        <v>105</v>
      </c>
      <c r="I32" s="1">
        <v>0</v>
      </c>
      <c r="J32" s="1">
        <v>0</v>
      </c>
      <c r="K32" s="1">
        <v>222.04949999999999</v>
      </c>
      <c r="L32" s="1">
        <v>181.07</v>
      </c>
      <c r="M32" s="1">
        <v>-4917.54</v>
      </c>
      <c r="N32" s="1">
        <v>-18.455100000000002</v>
      </c>
    </row>
    <row r="33" spans="2:14" x14ac:dyDescent="0.3">
      <c r="B33" t="s">
        <v>44</v>
      </c>
      <c r="C33" t="s">
        <v>45</v>
      </c>
      <c r="D33" t="s">
        <v>22</v>
      </c>
      <c r="E33" t="s">
        <v>72</v>
      </c>
      <c r="F33" s="1">
        <v>42</v>
      </c>
      <c r="G33" s="1">
        <v>0</v>
      </c>
      <c r="H33" s="1">
        <v>27</v>
      </c>
      <c r="I33" s="1">
        <v>0</v>
      </c>
      <c r="J33" s="1">
        <v>0</v>
      </c>
      <c r="K33" s="1">
        <v>1044.0999999999999</v>
      </c>
      <c r="L33" s="1">
        <v>845.75</v>
      </c>
      <c r="M33" s="1">
        <v>-8330.7000000000007</v>
      </c>
      <c r="N33" s="1">
        <v>-18.997199999999999</v>
      </c>
    </row>
    <row r="34" spans="2:14" x14ac:dyDescent="0.3">
      <c r="B34" t="s">
        <v>46</v>
      </c>
      <c r="C34" t="s">
        <v>47</v>
      </c>
      <c r="D34" t="s">
        <v>48</v>
      </c>
      <c r="E34" t="s">
        <v>72</v>
      </c>
      <c r="F34" s="1">
        <v>60</v>
      </c>
      <c r="G34" s="1">
        <v>0</v>
      </c>
      <c r="H34" s="1">
        <v>0</v>
      </c>
      <c r="I34" s="1">
        <v>0</v>
      </c>
      <c r="J34" s="1">
        <v>0</v>
      </c>
      <c r="K34" s="1">
        <v>235.8537</v>
      </c>
      <c r="L34" s="1">
        <v>243.11</v>
      </c>
      <c r="M34" s="1">
        <v>435.38</v>
      </c>
      <c r="N34" s="1">
        <v>3.0766</v>
      </c>
    </row>
    <row r="35" spans="2:14" x14ac:dyDescent="0.3">
      <c r="B35" t="s">
        <v>49</v>
      </c>
      <c r="C35" t="s">
        <v>50</v>
      </c>
      <c r="D35" t="s">
        <v>28</v>
      </c>
      <c r="E35" t="s">
        <v>72</v>
      </c>
      <c r="F35" s="1">
        <v>170</v>
      </c>
      <c r="G35" s="1">
        <v>0</v>
      </c>
      <c r="H35" s="1">
        <v>100</v>
      </c>
      <c r="I35" s="1">
        <v>0</v>
      </c>
      <c r="J35" s="1">
        <v>0</v>
      </c>
      <c r="K35" s="1">
        <v>450.80470000000003</v>
      </c>
      <c r="L35" s="1">
        <v>370.1</v>
      </c>
      <c r="M35" s="1">
        <v>-13719.8</v>
      </c>
      <c r="N35" s="1">
        <v>-17.9024</v>
      </c>
    </row>
    <row r="36" spans="2:14" x14ac:dyDescent="0.3">
      <c r="B36" t="s">
        <v>51</v>
      </c>
      <c r="C36" t="s">
        <v>52</v>
      </c>
      <c r="D36" t="s">
        <v>28</v>
      </c>
      <c r="E36" t="s">
        <v>72</v>
      </c>
      <c r="F36" s="1">
        <v>460</v>
      </c>
      <c r="G36" s="1">
        <v>0</v>
      </c>
      <c r="H36" s="1">
        <v>230</v>
      </c>
      <c r="I36" s="1">
        <v>0</v>
      </c>
      <c r="J36" s="1">
        <v>0</v>
      </c>
      <c r="K36" s="1">
        <v>28.562000000000001</v>
      </c>
      <c r="L36" s="1">
        <v>45.1</v>
      </c>
      <c r="M36" s="1">
        <v>7607.5</v>
      </c>
      <c r="N36" s="1">
        <v>57.902299999999997</v>
      </c>
    </row>
    <row r="37" spans="2:14" x14ac:dyDescent="0.3">
      <c r="B37" t="s">
        <v>53</v>
      </c>
      <c r="C37" t="s">
        <v>54</v>
      </c>
      <c r="D37" t="s">
        <v>55</v>
      </c>
      <c r="E37" t="s">
        <v>72</v>
      </c>
      <c r="F37" s="1">
        <v>225</v>
      </c>
      <c r="G37" s="1">
        <v>0</v>
      </c>
      <c r="H37" s="1">
        <v>225</v>
      </c>
      <c r="I37" s="1">
        <v>0</v>
      </c>
      <c r="J37" s="1">
        <v>0</v>
      </c>
      <c r="K37" s="1">
        <v>157.54409999999999</v>
      </c>
      <c r="L37" s="1">
        <v>188.27</v>
      </c>
      <c r="M37" s="1">
        <v>6913.33</v>
      </c>
      <c r="N37" s="1">
        <v>19.5031</v>
      </c>
    </row>
    <row r="38" spans="2:14" x14ac:dyDescent="0.3">
      <c r="B38" t="s">
        <v>56</v>
      </c>
      <c r="C38" t="s">
        <v>57</v>
      </c>
      <c r="D38" t="s">
        <v>58</v>
      </c>
      <c r="E38" t="s">
        <v>72</v>
      </c>
      <c r="F38" s="1">
        <v>67</v>
      </c>
      <c r="G38" s="1">
        <v>0</v>
      </c>
      <c r="H38" s="1">
        <v>41</v>
      </c>
      <c r="I38" s="1">
        <v>0</v>
      </c>
      <c r="J38" s="1">
        <v>0</v>
      </c>
      <c r="K38" s="1">
        <v>275.0324</v>
      </c>
      <c r="L38" s="1">
        <v>441.4</v>
      </c>
      <c r="M38" s="1">
        <v>11146.629300000001</v>
      </c>
      <c r="N38" s="1">
        <v>60.490200000000002</v>
      </c>
    </row>
    <row r="39" spans="2:14" x14ac:dyDescent="0.3">
      <c r="B39" t="s">
        <v>59</v>
      </c>
      <c r="C39" t="s">
        <v>60</v>
      </c>
      <c r="D39" t="s">
        <v>58</v>
      </c>
      <c r="E39" t="s">
        <v>72</v>
      </c>
      <c r="F39" s="1">
        <v>70</v>
      </c>
      <c r="G39" s="1">
        <v>0</v>
      </c>
      <c r="H39" s="1">
        <v>41</v>
      </c>
      <c r="I39" s="1">
        <v>0</v>
      </c>
      <c r="J39" s="1">
        <v>0</v>
      </c>
      <c r="K39" s="1">
        <v>554.63260000000002</v>
      </c>
      <c r="L39" s="1">
        <v>344</v>
      </c>
      <c r="M39" s="1">
        <v>-14744.279200000001</v>
      </c>
      <c r="N39" s="1">
        <v>-37.976999999999997</v>
      </c>
    </row>
    <row r="40" spans="2:14" x14ac:dyDescent="0.3">
      <c r="B40" t="s">
        <v>61</v>
      </c>
      <c r="C40" t="s">
        <v>62</v>
      </c>
      <c r="D40" t="s">
        <v>33</v>
      </c>
      <c r="E40" t="s">
        <v>72</v>
      </c>
      <c r="F40" s="1">
        <v>210</v>
      </c>
      <c r="G40" s="1">
        <v>0</v>
      </c>
      <c r="H40" s="1">
        <v>160</v>
      </c>
      <c r="I40" s="1">
        <v>0</v>
      </c>
      <c r="J40" s="1">
        <v>0</v>
      </c>
      <c r="K40" s="1">
        <v>255.29679999999999</v>
      </c>
      <c r="L40" s="1">
        <v>246</v>
      </c>
      <c r="M40" s="1">
        <v>-1952.33</v>
      </c>
      <c r="N40" s="1">
        <v>-3.6415999999999999</v>
      </c>
    </row>
    <row r="41" spans="2:14" x14ac:dyDescent="0.3">
      <c r="B41" t="s">
        <v>63</v>
      </c>
      <c r="C41" t="s">
        <v>64</v>
      </c>
      <c r="D41" t="s">
        <v>22</v>
      </c>
      <c r="E41" t="s">
        <v>72</v>
      </c>
      <c r="F41" s="1">
        <v>10</v>
      </c>
      <c r="G41" s="1">
        <v>0</v>
      </c>
      <c r="H41" s="1">
        <v>0</v>
      </c>
      <c r="I41" s="1">
        <v>0</v>
      </c>
      <c r="J41" s="1">
        <v>0</v>
      </c>
      <c r="K41" s="1">
        <v>874.6</v>
      </c>
      <c r="L41" s="1">
        <v>881.1</v>
      </c>
      <c r="M41" s="1">
        <v>65</v>
      </c>
      <c r="N41" s="1">
        <v>0.74319999999999997</v>
      </c>
    </row>
    <row r="42" spans="2:14" x14ac:dyDescent="0.3">
      <c r="B42" t="s">
        <v>67</v>
      </c>
      <c r="C42" t="s">
        <v>68</v>
      </c>
      <c r="D42" t="s">
        <v>72</v>
      </c>
      <c r="E42" t="s">
        <v>69</v>
      </c>
      <c r="F42" s="1">
        <v>52.97</v>
      </c>
      <c r="G42" s="1">
        <v>0</v>
      </c>
      <c r="H42" t="s">
        <v>72</v>
      </c>
      <c r="I42" s="1">
        <v>0</v>
      </c>
      <c r="J42" s="1">
        <v>0</v>
      </c>
      <c r="K42" s="1">
        <v>85.258200000000002</v>
      </c>
      <c r="L42" s="1">
        <v>108.6446</v>
      </c>
      <c r="M42" s="1">
        <v>1238.778</v>
      </c>
      <c r="N42" s="1">
        <v>27.430099999999999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</vt:lpstr>
      <vt:lpstr>Mutual Funds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2026-01-20T14:53:02Z</dcterms:modified>
</cp:coreProperties>
</file>